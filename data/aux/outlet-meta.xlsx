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<sst xmlns="http://schemas.openxmlformats.org/spreadsheetml/2006/main" count="243" uniqueCount="123">
  <si>
    <t>Bias (MBFC)</t>
  </si>
  <si>
    <t>Bias (Survey)</t>
  </si>
  <si>
    <t>bias_trichotomized</t>
  </si>
  <si>
    <t>Quality~\citep{lin_high_2023}</t>
  </si>
  <si>
    <t>Quality (Survey)</t>
  </si>
  <si>
    <t>Quality_trichotomized</t>
  </si>
  <si>
    <t>Notes</t>
  </si>
  <si>
    <t>Key</t>
  </si>
  <si>
    <t>United States</t>
  </si>
  <si>
    <t>AP</t>
  </si>
  <si>
    <t>center</t>
  </si>
  <si>
    <t>MBFC</t>
  </si>
  <si>
    <t>Lower scores=further left, -10 to 10</t>
  </si>
  <si>
    <t>Breitbart</t>
  </si>
  <si>
    <t>right</t>
  </si>
  <si>
    <t>Lower scores=further left, 1 to 5</t>
  </si>
  <si>
    <t>Business Insider</t>
  </si>
  <si>
    <t>Quality: Lin</t>
  </si>
  <si>
    <t>Higher=higher quality, 0 to 1</t>
  </si>
  <si>
    <t>BuzzFeed News</t>
  </si>
  <si>
    <t>left</t>
  </si>
  <si>
    <t>Quality: Survey</t>
  </si>
  <si>
    <t>Higher=higher quality, 1 to 4</t>
  </si>
  <si>
    <t>CNBC</t>
  </si>
  <si>
    <t>Quality Trichotomized:</t>
  </si>
  <si>
    <t>Within countries, low-medium-high based on the range of that country's answers/data</t>
  </si>
  <si>
    <t>CNN</t>
  </si>
  <si>
    <t>Bias Trichotomized:</t>
  </si>
  <si>
    <t>Based on values, for EU, left=&lt;2.5, center=2.5 to 3.5,right=&gt;3.5
For US, left=&lt;-3.5, center=-3.5 to 3.5, right=&gt;3.5</t>
  </si>
  <si>
    <t>Daily Kos</t>
  </si>
  <si>
    <t>Democracy Now!</t>
  </si>
  <si>
    <t>Financial Times</t>
  </si>
  <si>
    <t>Forbes</t>
  </si>
  <si>
    <t>Fox News</t>
  </si>
  <si>
    <t>HuffPost</t>
  </si>
  <si>
    <t>Jacobin magazine</t>
  </si>
  <si>
    <t>MSNBC</t>
  </si>
  <si>
    <t>Mother Jones</t>
  </si>
  <si>
    <t>NEWSMAX</t>
  </si>
  <si>
    <t>NPR</t>
  </si>
  <si>
    <t>Newsweek</t>
  </si>
  <si>
    <t>One America News Network</t>
  </si>
  <si>
    <t>PBS</t>
  </si>
  <si>
    <t>Reuters</t>
  </si>
  <si>
    <t>THE WEEK</t>
  </si>
  <si>
    <t>The Daily Caller</t>
  </si>
  <si>
    <t>The Economist</t>
  </si>
  <si>
    <t>The Epoch Times</t>
  </si>
  <si>
    <t>The Hill</t>
  </si>
  <si>
    <t>The New Republic</t>
  </si>
  <si>
    <t>LEFT</t>
  </si>
  <si>
    <t>The New York Times</t>
  </si>
  <si>
    <t>The New Yorker</t>
  </si>
  <si>
    <t>The Wall Street Journal</t>
  </si>
  <si>
    <t>The Young Turks</t>
  </si>
  <si>
    <t>Truthdig</t>
  </si>
  <si>
    <t>LEFT-CENTER</t>
  </si>
  <si>
    <t>USA TODAY</t>
  </si>
  <si>
    <t>Vox</t>
  </si>
  <si>
    <t>Washington Post</t>
  </si>
  <si>
    <t>Yahoo News</t>
  </si>
  <si>
    <t>Spain</t>
  </si>
  <si>
    <t>ABC.es</t>
  </si>
  <si>
    <t>Antena 3</t>
  </si>
  <si>
    <t>El Mundo</t>
  </si>
  <si>
    <t>El País</t>
  </si>
  <si>
    <t>La Vanguardia</t>
  </si>
  <si>
    <t>Público</t>
  </si>
  <si>
    <t>RTVE</t>
  </si>
  <si>
    <t>"TVE1" seems to be the only matching option</t>
  </si>
  <si>
    <t>Telecinco</t>
  </si>
  <si>
    <t>elDiario.es</t>
  </si>
  <si>
    <t>laSexta</t>
  </si>
  <si>
    <t>okdiario.com</t>
  </si>
  <si>
    <t>France</t>
  </si>
  <si>
    <t>Le Figaro</t>
  </si>
  <si>
    <t>Le Monde</t>
  </si>
  <si>
    <t>Libération</t>
  </si>
  <si>
    <t>Marianne</t>
  </si>
  <si>
    <t>Mediapart</t>
  </si>
  <si>
    <t>Reporterre, le média de l'écologie</t>
  </si>
  <si>
    <t>Valeurs actuelles</t>
  </si>
  <si>
    <t>Poland</t>
  </si>
  <si>
    <t>Dziennik Gazeta Prawna</t>
  </si>
  <si>
    <t>FAKT24.pl</t>
  </si>
  <si>
    <t>Gazeta Wyborcza</t>
  </si>
  <si>
    <t>Gazeta.pl</t>
  </si>
  <si>
    <t>Gość Niedzielny</t>
  </si>
  <si>
    <t>Najwyższy CZAS!</t>
  </si>
  <si>
    <t>Newsweek Polska</t>
  </si>
  <si>
    <t>Onet</t>
  </si>
  <si>
    <t>Polityka</t>
  </si>
  <si>
    <t>Rzeczpospolita</t>
  </si>
  <si>
    <t>Super Express</t>
  </si>
  <si>
    <t>TVN24</t>
  </si>
  <si>
    <t>Tygodnik Sieci</t>
  </si>
  <si>
    <t>Warszawska Gazeta</t>
  </si>
  <si>
    <t>Wirtualna Polska</t>
  </si>
  <si>
    <t>tvp.info</t>
  </si>
  <si>
    <t>Ireland</t>
  </si>
  <si>
    <t>Independent.ie</t>
  </si>
  <si>
    <t>Seems to be the Irish Independent's website url. The FB account changed name during our data collection, I believe</t>
  </si>
  <si>
    <t>Irish Examiner</t>
  </si>
  <si>
    <t>Irish Independent</t>
  </si>
  <si>
    <t>JOE.ie</t>
  </si>
  <si>
    <t>RTÉ</t>
  </si>
  <si>
    <t>Sunday World</t>
  </si>
  <si>
    <t>The Irish Sun</t>
  </si>
  <si>
    <t>The Irish Times</t>
  </si>
  <si>
    <t>TheJournal.ie</t>
  </si>
  <si>
    <t>breakingnews.ie</t>
  </si>
  <si>
    <t>United Kingdom</t>
  </si>
  <si>
    <t>GB News</t>
  </si>
  <si>
    <t>Manchester Evening News</t>
  </si>
  <si>
    <t>Sky News</t>
  </si>
  <si>
    <t>The Guardian</t>
  </si>
  <si>
    <t>The Independent</t>
  </si>
  <si>
    <t>The Sun</t>
  </si>
  <si>
    <t>The Telegraph</t>
  </si>
  <si>
    <t>The Times and The Sunday Times</t>
  </si>
  <si>
    <t>Odd combination, as the two share a brand but have seperate editorial staff/focuses</t>
  </si>
  <si>
    <t>The i Paper</t>
  </si>
  <si>
    <t>UnHerd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</si>
</sst>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8.0"/>
      <color rgb="FF000000"/>
      <name val="&quot;DejaVu Sans&quot;"/>
    </font>
    <font>
      <sz val="10.0"/>
      <color rgb="FF000000"/>
      <name val="Arial"/>
    </font>
    <font>
      <sz val="10.0"/>
      <color rgb="FF000000"/>
      <name val="&quot;DejaVu Sans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bottom style="thin">
        <color rgb="FFD6DADC"/>
      </bottom>
    </border>
    <border>
      <right style="thin">
        <color rgb="FFD6DADC"/>
      </right>
      <bottom style="thin">
        <color rgb="FFD6DADC"/>
      </bottom>
    </border>
    <border>
      <right style="thin">
        <color rgb="FFD6DADC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1" fillId="2" fontId="2" numFmtId="2" xfId="0" applyAlignment="1" applyBorder="1" applyFill="1" applyFont="1" applyNumberFormat="1">
      <alignment horizontal="right" readingOrder="0" vertical="bottom"/>
    </xf>
    <xf borderId="2" fillId="2" fontId="4" numFmtId="0" xfId="0" applyAlignment="1" applyBorder="1" applyFon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3" fillId="2" fontId="2" numFmtId="2" xfId="0" applyAlignment="1" applyBorder="1" applyFont="1" applyNumberFormat="1">
      <alignment horizontal="right" readingOrder="0" vertical="bottom"/>
    </xf>
    <xf borderId="4" fillId="2" fontId="4" numFmtId="0" xfId="0" applyAlignment="1" applyBorder="1" applyFont="1">
      <alignment horizontal="right" readingOrder="0" shrinkToFit="0" wrapText="0"/>
    </xf>
    <xf borderId="5" fillId="2" fontId="2" numFmtId="2" xfId="0" applyAlignment="1" applyBorder="1" applyFont="1" applyNumberFormat="1">
      <alignment horizontal="right" readingOrder="0" vertical="bottom"/>
    </xf>
    <xf borderId="6" fillId="2" fontId="4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0" numFmtId="0" xfId="0" applyAlignment="1" applyFont="1">
      <alignment readingOrder="0" shrinkToFit="0" wrapText="0"/>
    </xf>
    <xf borderId="7" fillId="0" fontId="2" numFmtId="0" xfId="0" applyAlignment="1" applyBorder="1" applyFont="1">
      <alignment readingOrder="0"/>
    </xf>
    <xf borderId="7" fillId="0" fontId="2" numFmtId="2" xfId="0" applyAlignment="1" applyBorder="1" applyFont="1" applyNumberFormat="1">
      <alignment horizontal="right" vertical="bottom"/>
    </xf>
    <xf borderId="7" fillId="0" fontId="0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horizontal="right" readingOrder="0" shrinkToFit="0" wrapText="0"/>
    </xf>
    <xf borderId="3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2" numFmtId="0" xfId="0" applyAlignment="1" applyFont="1">
      <alignment horizontal="right" vertical="bottom"/>
    </xf>
    <xf borderId="8" fillId="2" fontId="2" numFmtId="2" xfId="0" applyAlignment="1" applyBorder="1" applyFont="1" applyNumberFormat="1">
      <alignment horizontal="right" vertical="bottom"/>
    </xf>
    <xf borderId="0" fillId="2" fontId="0" numFmtId="0" xfId="0" applyAlignment="1" applyFont="1">
      <alignment readingOrder="0" shrinkToFit="0" wrapText="0"/>
    </xf>
    <xf borderId="0" fillId="2" fontId="0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4" fillId="2" fontId="3" numFmtId="0" xfId="0" applyAlignment="1" applyBorder="1" applyFont="1">
      <alignment horizontal="right" readingOrder="0" shrinkToFit="0" wrapText="0"/>
    </xf>
    <xf borderId="0" fillId="2" fontId="2" numFmtId="0" xfId="0" applyAlignment="1" applyFont="1">
      <alignment readingOrder="0"/>
    </xf>
    <xf borderId="0" fillId="2" fontId="2" numFmtId="2" xfId="0" applyAlignment="1" applyFont="1" applyNumberFormat="1">
      <alignment horizontal="right" vertical="bottom"/>
    </xf>
    <xf borderId="5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7" fillId="2" fontId="1" numFmtId="0" xfId="0" applyBorder="1" applyFont="1"/>
    <xf borderId="7" fillId="2" fontId="2" numFmtId="0" xfId="0" applyAlignment="1" applyBorder="1" applyFont="1">
      <alignment horizontal="right" vertical="bottom"/>
    </xf>
    <xf borderId="7" fillId="2" fontId="2" numFmtId="2" xfId="0" applyAlignment="1" applyBorder="1" applyFont="1" applyNumberFormat="1">
      <alignment horizontal="right" vertical="bottom"/>
    </xf>
    <xf borderId="7" fillId="2" fontId="0" numFmtId="0" xfId="0" applyAlignment="1" applyBorder="1" applyFont="1">
      <alignment readingOrder="0" shrinkToFit="0" wrapText="0"/>
    </xf>
    <xf borderId="7" fillId="2" fontId="0" numFmtId="0" xfId="0" applyAlignment="1" applyBorder="1" applyFont="1">
      <alignment horizontal="right" readingOrder="0" shrinkToFit="0" wrapText="0"/>
    </xf>
    <xf borderId="7" fillId="2" fontId="3" numFmtId="0" xfId="0" applyAlignment="1" applyBorder="1" applyFont="1">
      <alignment horizontal="right" readingOrder="0" shrinkToFit="0" wrapText="0"/>
    </xf>
    <xf borderId="6" fillId="2" fontId="3" numFmtId="0" xfId="0" applyAlignment="1" applyBorder="1" applyFont="1">
      <alignment horizontal="right" readingOrder="0" shrinkToFit="0" wrapText="0"/>
    </xf>
    <xf borderId="9" fillId="0" fontId="2" numFmtId="0" xfId="0" applyAlignment="1" applyBorder="1" applyFont="1">
      <alignment horizontal="right" vertical="bottom"/>
    </xf>
    <xf borderId="8" fillId="3" fontId="2" numFmtId="2" xfId="0" applyAlignment="1" applyBorder="1" applyFill="1" applyFont="1" applyNumberFormat="1">
      <alignment horizontal="right" vertical="bottom"/>
    </xf>
    <xf borderId="10" fillId="0" fontId="2" numFmtId="0" xfId="0" applyAlignment="1" applyBorder="1" applyFont="1">
      <alignment horizontal="right" vertical="bottom"/>
    </xf>
    <xf borderId="10" fillId="0" fontId="0" numFmtId="0" xfId="0" applyAlignment="1" applyBorder="1" applyFont="1">
      <alignment readingOrder="0" shrinkToFit="0" wrapText="0"/>
    </xf>
    <xf borderId="10" fillId="0" fontId="0" numFmtId="0" xfId="0" applyAlignment="1" applyBorder="1" applyFont="1">
      <alignment horizontal="right" readingOrder="0" shrinkToFit="0" wrapText="0"/>
    </xf>
    <xf borderId="10" fillId="0" fontId="3" numFmtId="0" xfId="0" applyAlignment="1" applyBorder="1" applyFont="1">
      <alignment horizontal="right" readingOrder="0" shrinkToFit="0" wrapText="0"/>
    </xf>
    <xf borderId="0" fillId="3" fontId="2" numFmtId="2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7" fillId="3" fontId="2" numFmtId="2" xfId="0" applyAlignment="1" applyBorder="1" applyFont="1" applyNumberFormat="1">
      <alignment horizontal="right" vertical="bottom"/>
    </xf>
    <xf borderId="11" fillId="0" fontId="2" numFmtId="0" xfId="0" applyAlignment="1" applyBorder="1" applyFont="1">
      <alignment horizontal="right" vertical="bottom"/>
    </xf>
    <xf borderId="11" fillId="0" fontId="0" numFmtId="0" xfId="0" applyAlignment="1" applyBorder="1" applyFont="1">
      <alignment readingOrder="0" shrinkToFit="0" wrapText="0"/>
    </xf>
    <xf borderId="11" fillId="0" fontId="0" numFmtId="0" xfId="0" applyAlignment="1" applyBorder="1" applyFont="1">
      <alignment horizontal="right" readingOrder="0" shrinkToFit="0" wrapText="0"/>
    </xf>
    <xf borderId="11" fillId="0" fontId="3" numFmtId="0" xfId="0" applyAlignment="1" applyBorder="1" applyFont="1">
      <alignment horizontal="right" readingOrder="0" shrinkToFit="0" wrapText="0"/>
    </xf>
    <xf borderId="1" fillId="2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8" fillId="2" fontId="1" numFmtId="0" xfId="0" applyBorder="1" applyFont="1"/>
    <xf borderId="8" fillId="2" fontId="2" numFmtId="0" xfId="0" applyAlignment="1" applyBorder="1" applyFont="1">
      <alignment horizontal="right" vertical="bottom"/>
    </xf>
    <xf borderId="8" fillId="2" fontId="0" numFmtId="0" xfId="0" applyAlignment="1" applyBorder="1" applyFont="1">
      <alignment readingOrder="0" shrinkToFit="0" wrapText="0"/>
    </xf>
    <xf borderId="8" fillId="2" fontId="0" numFmtId="0" xfId="0" applyAlignment="1" applyBorder="1" applyFont="1">
      <alignment horizontal="right" readingOrder="0" shrinkToFit="0" wrapText="0"/>
    </xf>
    <xf borderId="8" fillId="2" fontId="3" numFmtId="0" xfId="0" applyAlignment="1" applyBorder="1" applyFont="1">
      <alignment horizontal="right" readingOrder="0" shrinkToFit="0" wrapText="0"/>
    </xf>
    <xf borderId="2" fillId="2" fontId="3" numFmtId="0" xfId="0" applyAlignment="1" applyBorder="1" applyFont="1">
      <alignment horizontal="right" readingOrder="0" shrinkToFit="0" wrapText="0"/>
    </xf>
    <xf borderId="9" fillId="0" fontId="2" numFmtId="0" xfId="0" applyBorder="1" applyFont="1"/>
    <xf borderId="10" fillId="0" fontId="2" numFmtId="0" xfId="0" applyBorder="1" applyFont="1"/>
    <xf borderId="0" fillId="0" fontId="2" numFmtId="0" xfId="0" applyFont="1"/>
    <xf borderId="8" fillId="2" fontId="2" numFmtId="0" xfId="0" applyBorder="1" applyFont="1"/>
    <xf borderId="2" fillId="2" fontId="1" numFmtId="0" xfId="0" applyBorder="1" applyFont="1"/>
    <xf borderId="0" fillId="2" fontId="2" numFmtId="0" xfId="0" applyFont="1"/>
    <xf borderId="4" fillId="2" fontId="1" numFmtId="0" xfId="0" applyBorder="1" applyFont="1"/>
    <xf borderId="7" fillId="2" fontId="2" numFmtId="0" xfId="0" applyBorder="1" applyFont="1"/>
    <xf borderId="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25"/>
    <col customWidth="1" min="9" max="9" width="8.13"/>
    <col customWidth="1" min="10" max="10" width="17.25"/>
    <col customWidth="1" min="11" max="11" width="53.75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L1" s="1"/>
    </row>
    <row r="2">
      <c r="A2" s="2" t="s">
        <v>8</v>
      </c>
      <c r="B2" s="2" t="s">
        <v>9</v>
      </c>
      <c r="C2" s="3">
        <v>-3.3</v>
      </c>
      <c r="D2" s="3"/>
      <c r="E2" s="4" t="s">
        <v>10</v>
      </c>
      <c r="F2" s="3">
        <v>0.86</v>
      </c>
      <c r="G2" s="3"/>
      <c r="H2" s="3" t="str">
        <f t="shared" ref="H2:H37" si="1">IF($F2&lt;PERCENTILE($F$2:$F$37,0.33),"low",IF($F2&gt;PERCENTILE($F$2:$F$37,0.66),"high","medium"))</f>
        <v>high</v>
      </c>
      <c r="I2" s="5"/>
      <c r="J2" s="6" t="s">
        <v>11</v>
      </c>
      <c r="K2" s="7" t="s">
        <v>12</v>
      </c>
      <c r="L2" s="8"/>
    </row>
    <row r="3">
      <c r="A3" s="2" t="s">
        <v>8</v>
      </c>
      <c r="B3" s="2" t="s">
        <v>13</v>
      </c>
      <c r="C3" s="3">
        <v>8.1</v>
      </c>
      <c r="D3" s="3"/>
      <c r="E3" s="4" t="s">
        <v>14</v>
      </c>
      <c r="F3" s="3">
        <v>0.3</v>
      </c>
      <c r="G3" s="3"/>
      <c r="H3" s="3" t="str">
        <f t="shared" si="1"/>
        <v>low</v>
      </c>
      <c r="I3" s="5"/>
      <c r="J3" s="9" t="s">
        <v>1</v>
      </c>
      <c r="K3" s="10" t="s">
        <v>15</v>
      </c>
      <c r="L3" s="8"/>
    </row>
    <row r="4">
      <c r="A4" s="2" t="s">
        <v>8</v>
      </c>
      <c r="B4" s="2" t="s">
        <v>16</v>
      </c>
      <c r="C4" s="3">
        <v>-3.3</v>
      </c>
      <c r="D4" s="3"/>
      <c r="E4" s="4" t="s">
        <v>10</v>
      </c>
      <c r="F4" s="3">
        <v>0.8</v>
      </c>
      <c r="G4" s="3"/>
      <c r="H4" s="3" t="str">
        <f t="shared" si="1"/>
        <v>medium</v>
      </c>
      <c r="I4" s="5"/>
      <c r="J4" s="9" t="s">
        <v>17</v>
      </c>
      <c r="K4" s="10" t="s">
        <v>18</v>
      </c>
      <c r="L4" s="8"/>
    </row>
    <row r="5">
      <c r="A5" s="2" t="s">
        <v>8</v>
      </c>
      <c r="B5" s="2" t="s">
        <v>19</v>
      </c>
      <c r="C5" s="3">
        <v>-4.5</v>
      </c>
      <c r="D5" s="3"/>
      <c r="E5" s="4" t="s">
        <v>20</v>
      </c>
      <c r="F5" s="3">
        <v>0.8</v>
      </c>
      <c r="G5" s="3"/>
      <c r="H5" s="3" t="str">
        <f t="shared" si="1"/>
        <v>medium</v>
      </c>
      <c r="I5" s="5"/>
      <c r="J5" s="9" t="s">
        <v>21</v>
      </c>
      <c r="K5" s="10" t="s">
        <v>22</v>
      </c>
      <c r="L5" s="8"/>
    </row>
    <row r="6">
      <c r="A6" s="2" t="s">
        <v>8</v>
      </c>
      <c r="B6" s="2" t="s">
        <v>23</v>
      </c>
      <c r="C6" s="3">
        <v>-3.3</v>
      </c>
      <c r="D6" s="3"/>
      <c r="E6" s="4" t="s">
        <v>10</v>
      </c>
      <c r="F6" s="3">
        <v>0.85</v>
      </c>
      <c r="G6" s="3"/>
      <c r="H6" s="3" t="str">
        <f t="shared" si="1"/>
        <v>high</v>
      </c>
      <c r="I6" s="5"/>
      <c r="J6" s="9" t="s">
        <v>24</v>
      </c>
      <c r="K6" s="10" t="s">
        <v>25</v>
      </c>
      <c r="L6" s="8"/>
    </row>
    <row r="7">
      <c r="A7" s="2" t="s">
        <v>8</v>
      </c>
      <c r="B7" s="2" t="s">
        <v>26</v>
      </c>
      <c r="C7" s="3">
        <v>-3.6</v>
      </c>
      <c r="D7" s="3"/>
      <c r="E7" s="4" t="s">
        <v>20</v>
      </c>
      <c r="F7" s="3">
        <v>0.66</v>
      </c>
      <c r="G7" s="3"/>
      <c r="H7" s="3" t="str">
        <f t="shared" si="1"/>
        <v>medium</v>
      </c>
      <c r="I7" s="5"/>
      <c r="J7" s="11" t="s">
        <v>27</v>
      </c>
      <c r="K7" s="12" t="s">
        <v>28</v>
      </c>
      <c r="L7" s="8"/>
    </row>
    <row r="8">
      <c r="A8" s="2" t="s">
        <v>8</v>
      </c>
      <c r="B8" s="2" t="s">
        <v>29</v>
      </c>
      <c r="C8" s="3">
        <v>-8.1</v>
      </c>
      <c r="D8" s="3"/>
      <c r="E8" s="4" t="s">
        <v>20</v>
      </c>
      <c r="F8" s="3">
        <v>0.41</v>
      </c>
      <c r="G8" s="3"/>
      <c r="H8" s="3" t="str">
        <f t="shared" si="1"/>
        <v>low</v>
      </c>
      <c r="I8" s="5"/>
      <c r="J8" s="3"/>
      <c r="K8" s="13"/>
      <c r="L8" s="8"/>
    </row>
    <row r="9">
      <c r="A9" s="2" t="s">
        <v>8</v>
      </c>
      <c r="B9" s="2" t="s">
        <v>30</v>
      </c>
      <c r="C9" s="3">
        <v>-6.4</v>
      </c>
      <c r="D9" s="3"/>
      <c r="E9" s="4" t="s">
        <v>20</v>
      </c>
      <c r="F9" s="3">
        <v>0.57</v>
      </c>
      <c r="G9" s="3"/>
      <c r="H9" s="3" t="str">
        <f t="shared" si="1"/>
        <v>low</v>
      </c>
      <c r="I9" s="5"/>
      <c r="J9" s="3"/>
      <c r="K9" s="8"/>
      <c r="L9" s="8"/>
    </row>
    <row r="10">
      <c r="A10" s="2" t="s">
        <v>8</v>
      </c>
      <c r="B10" s="2" t="s">
        <v>31</v>
      </c>
      <c r="C10" s="3">
        <v>0.4</v>
      </c>
      <c r="D10" s="3"/>
      <c r="E10" s="4" t="s">
        <v>10</v>
      </c>
      <c r="F10" s="3">
        <v>0.93</v>
      </c>
      <c r="G10" s="3"/>
      <c r="H10" s="3" t="str">
        <f t="shared" si="1"/>
        <v>high</v>
      </c>
      <c r="I10" s="5"/>
      <c r="J10" s="3"/>
      <c r="K10" s="8"/>
      <c r="L10" s="8"/>
    </row>
    <row r="11">
      <c r="A11" s="2" t="s">
        <v>8</v>
      </c>
      <c r="B11" s="2" t="s">
        <v>32</v>
      </c>
      <c r="C11" s="3">
        <v>1.3</v>
      </c>
      <c r="D11" s="3"/>
      <c r="E11" s="4" t="s">
        <v>10</v>
      </c>
      <c r="F11" s="3">
        <v>0.83</v>
      </c>
      <c r="G11" s="3"/>
      <c r="H11" s="3" t="str">
        <f t="shared" si="1"/>
        <v>high</v>
      </c>
      <c r="I11" s="5"/>
      <c r="J11" s="3"/>
      <c r="K11" s="8"/>
      <c r="L11" s="8"/>
    </row>
    <row r="12">
      <c r="A12" s="2" t="s">
        <v>8</v>
      </c>
      <c r="B12" s="2" t="s">
        <v>33</v>
      </c>
      <c r="C12" s="3">
        <v>6.7</v>
      </c>
      <c r="D12" s="3"/>
      <c r="E12" s="4" t="s">
        <v>14</v>
      </c>
      <c r="F12" s="3">
        <v>0.53</v>
      </c>
      <c r="G12" s="3"/>
      <c r="H12" s="3" t="str">
        <f t="shared" si="1"/>
        <v>low</v>
      </c>
      <c r="I12" s="5"/>
      <c r="J12" s="3"/>
      <c r="K12" s="8"/>
      <c r="L12" s="8"/>
    </row>
    <row r="13">
      <c r="A13" s="2" t="s">
        <v>8</v>
      </c>
      <c r="B13" s="2" t="s">
        <v>34</v>
      </c>
      <c r="C13" s="3">
        <v>-6.4</v>
      </c>
      <c r="D13" s="3"/>
      <c r="E13" s="4" t="s">
        <v>20</v>
      </c>
      <c r="F13" s="3">
        <v>0.57</v>
      </c>
      <c r="G13" s="3"/>
      <c r="H13" s="3" t="str">
        <f t="shared" si="1"/>
        <v>low</v>
      </c>
      <c r="I13" s="5"/>
      <c r="J13" s="3"/>
      <c r="K13" s="8"/>
      <c r="L13" s="8"/>
    </row>
    <row r="14">
      <c r="A14" s="2" t="s">
        <v>8</v>
      </c>
      <c r="B14" s="2" t="s">
        <v>35</v>
      </c>
      <c r="C14" s="3">
        <v>-7.0</v>
      </c>
      <c r="D14" s="3"/>
      <c r="E14" s="4" t="s">
        <v>20</v>
      </c>
      <c r="F14" s="3">
        <v>0.49</v>
      </c>
      <c r="G14" s="3"/>
      <c r="H14" s="3" t="str">
        <f t="shared" si="1"/>
        <v>low</v>
      </c>
      <c r="I14" s="5"/>
      <c r="J14" s="3"/>
      <c r="K14" s="8"/>
      <c r="L14" s="8"/>
    </row>
    <row r="15">
      <c r="A15" s="2" t="s">
        <v>8</v>
      </c>
      <c r="B15" s="2" t="s">
        <v>36</v>
      </c>
      <c r="C15" s="3">
        <v>-6.4</v>
      </c>
      <c r="D15" s="3"/>
      <c r="E15" s="4" t="s">
        <v>20</v>
      </c>
      <c r="F15" s="3">
        <v>0.59</v>
      </c>
      <c r="G15" s="3"/>
      <c r="H15" s="3" t="str">
        <f t="shared" si="1"/>
        <v>low</v>
      </c>
      <c r="I15" s="5"/>
      <c r="J15" s="3"/>
      <c r="K15" s="8"/>
      <c r="L15" s="8"/>
    </row>
    <row r="16">
      <c r="A16" s="2" t="s">
        <v>8</v>
      </c>
      <c r="B16" s="2" t="s">
        <v>37</v>
      </c>
      <c r="C16" s="3">
        <v>-4.4</v>
      </c>
      <c r="D16" s="3"/>
      <c r="E16" s="4" t="s">
        <v>20</v>
      </c>
      <c r="F16" s="3">
        <v>0.66</v>
      </c>
      <c r="G16" s="3"/>
      <c r="H16" s="3" t="str">
        <f t="shared" si="1"/>
        <v>medium</v>
      </c>
      <c r="I16" s="5"/>
      <c r="J16" s="3"/>
      <c r="K16" s="8"/>
      <c r="L16" s="8"/>
    </row>
    <row r="17">
      <c r="A17" s="2" t="s">
        <v>8</v>
      </c>
      <c r="B17" s="2" t="s">
        <v>38</v>
      </c>
      <c r="C17" s="3">
        <v>7.8</v>
      </c>
      <c r="D17" s="3"/>
      <c r="E17" s="4" t="s">
        <v>14</v>
      </c>
      <c r="F17" s="3">
        <v>0.29</v>
      </c>
      <c r="G17" s="3"/>
      <c r="H17" s="3" t="str">
        <f t="shared" si="1"/>
        <v>low</v>
      </c>
      <c r="I17" s="5"/>
      <c r="J17" s="3"/>
      <c r="K17" s="8"/>
      <c r="L17" s="8"/>
    </row>
    <row r="18">
      <c r="A18" s="2" t="s">
        <v>8</v>
      </c>
      <c r="B18" s="2" t="s">
        <v>39</v>
      </c>
      <c r="C18" s="3">
        <v>-2.8</v>
      </c>
      <c r="D18" s="3"/>
      <c r="E18" s="4" t="s">
        <v>10</v>
      </c>
      <c r="F18" s="3">
        <v>0.93</v>
      </c>
      <c r="G18" s="3"/>
      <c r="H18" s="3" t="str">
        <f t="shared" si="1"/>
        <v>high</v>
      </c>
      <c r="I18" s="5"/>
      <c r="J18" s="3"/>
      <c r="K18" s="8"/>
      <c r="L18" s="8"/>
    </row>
    <row r="19">
      <c r="A19" s="2" t="s">
        <v>8</v>
      </c>
      <c r="B19" s="2" t="s">
        <v>40</v>
      </c>
      <c r="C19" s="3">
        <v>2.8</v>
      </c>
      <c r="D19" s="3"/>
      <c r="E19" s="4" t="s">
        <v>10</v>
      </c>
      <c r="F19" s="3">
        <v>0.82</v>
      </c>
      <c r="G19" s="3"/>
      <c r="H19" s="3" t="str">
        <f t="shared" si="1"/>
        <v>medium</v>
      </c>
      <c r="I19" s="5"/>
      <c r="J19" s="3"/>
      <c r="K19" s="8"/>
      <c r="L19" s="8"/>
    </row>
    <row r="20">
      <c r="A20" s="2" t="s">
        <v>8</v>
      </c>
      <c r="B20" s="2" t="s">
        <v>41</v>
      </c>
      <c r="C20" s="3">
        <v>7.9</v>
      </c>
      <c r="D20" s="3"/>
      <c r="E20" s="4" t="s">
        <v>14</v>
      </c>
      <c r="F20" s="3">
        <v>0.41</v>
      </c>
      <c r="G20" s="3"/>
      <c r="H20" s="3" t="str">
        <f t="shared" si="1"/>
        <v>low</v>
      </c>
      <c r="I20" s="5"/>
      <c r="J20" s="3"/>
      <c r="K20" s="8"/>
      <c r="L20" s="8"/>
    </row>
    <row r="21">
      <c r="A21" s="2" t="s">
        <v>8</v>
      </c>
      <c r="B21" s="2" t="s">
        <v>42</v>
      </c>
      <c r="C21" s="3">
        <v>-2.4</v>
      </c>
      <c r="D21" s="3"/>
      <c r="E21" s="4" t="s">
        <v>10</v>
      </c>
      <c r="F21" s="3">
        <v>0.87</v>
      </c>
      <c r="G21" s="3"/>
      <c r="H21" s="3" t="str">
        <f t="shared" si="1"/>
        <v>high</v>
      </c>
      <c r="I21" s="5"/>
      <c r="J21" s="3"/>
      <c r="K21" s="8"/>
      <c r="L21" s="8"/>
    </row>
    <row r="22">
      <c r="A22" s="2" t="s">
        <v>8</v>
      </c>
      <c r="B22" s="2" t="s">
        <v>43</v>
      </c>
      <c r="C22" s="3">
        <v>-0.5</v>
      </c>
      <c r="D22" s="3"/>
      <c r="E22" s="4" t="s">
        <v>10</v>
      </c>
      <c r="F22" s="3">
        <v>1.0</v>
      </c>
      <c r="G22" s="3"/>
      <c r="H22" s="3" t="str">
        <f t="shared" si="1"/>
        <v>high</v>
      </c>
      <c r="I22" s="5"/>
      <c r="J22" s="3"/>
      <c r="K22" s="8"/>
      <c r="L22" s="8"/>
    </row>
    <row r="23">
      <c r="A23" s="2" t="s">
        <v>8</v>
      </c>
      <c r="B23" s="2" t="s">
        <v>44</v>
      </c>
      <c r="C23" s="3">
        <v>-6.2</v>
      </c>
      <c r="D23" s="3"/>
      <c r="E23" s="4" t="s">
        <v>20</v>
      </c>
      <c r="F23" s="3">
        <v>0.64</v>
      </c>
      <c r="G23" s="3"/>
      <c r="H23" s="3" t="str">
        <f t="shared" si="1"/>
        <v>medium</v>
      </c>
      <c r="I23" s="5"/>
      <c r="J23" s="3"/>
      <c r="K23" s="8"/>
      <c r="L23" s="8"/>
    </row>
    <row r="24">
      <c r="A24" s="2" t="s">
        <v>8</v>
      </c>
      <c r="B24" s="2" t="s">
        <v>45</v>
      </c>
      <c r="C24" s="3">
        <v>6.6</v>
      </c>
      <c r="D24" s="3"/>
      <c r="E24" s="4" t="s">
        <v>14</v>
      </c>
      <c r="F24" s="3">
        <v>0.47</v>
      </c>
      <c r="G24" s="3"/>
      <c r="H24" s="3" t="str">
        <f t="shared" si="1"/>
        <v>low</v>
      </c>
      <c r="I24" s="5"/>
      <c r="J24" s="3"/>
      <c r="K24" s="8"/>
      <c r="L24" s="8"/>
    </row>
    <row r="25">
      <c r="A25" s="2" t="s">
        <v>8</v>
      </c>
      <c r="B25" s="2" t="s">
        <v>46</v>
      </c>
      <c r="C25" s="3">
        <v>0.4</v>
      </c>
      <c r="D25" s="3"/>
      <c r="E25" s="4" t="s">
        <v>10</v>
      </c>
      <c r="F25" s="3">
        <v>0.93</v>
      </c>
      <c r="G25" s="3"/>
      <c r="H25" s="3" t="str">
        <f t="shared" si="1"/>
        <v>high</v>
      </c>
      <c r="I25" s="5"/>
      <c r="J25" s="3"/>
      <c r="K25" s="8"/>
      <c r="L25" s="8"/>
    </row>
    <row r="26">
      <c r="A26" s="2" t="s">
        <v>8</v>
      </c>
      <c r="B26" s="2" t="s">
        <v>47</v>
      </c>
      <c r="C26" s="3">
        <v>6.4</v>
      </c>
      <c r="D26" s="3"/>
      <c r="E26" s="4" t="s">
        <v>14</v>
      </c>
      <c r="F26" s="3">
        <v>0.26</v>
      </c>
      <c r="G26" s="3"/>
      <c r="H26" s="3" t="str">
        <f t="shared" si="1"/>
        <v>low</v>
      </c>
      <c r="I26" s="5"/>
      <c r="J26" s="3"/>
      <c r="K26" s="8"/>
      <c r="L26" s="8"/>
    </row>
    <row r="27">
      <c r="A27" s="2" t="s">
        <v>8</v>
      </c>
      <c r="B27" s="2" t="s">
        <v>48</v>
      </c>
      <c r="C27" s="3">
        <v>0.4</v>
      </c>
      <c r="D27" s="3"/>
      <c r="E27" s="4" t="s">
        <v>10</v>
      </c>
      <c r="F27" s="3">
        <v>0.9</v>
      </c>
      <c r="G27" s="3"/>
      <c r="H27" s="3" t="str">
        <f t="shared" si="1"/>
        <v>high</v>
      </c>
      <c r="I27" s="5"/>
      <c r="J27" s="3"/>
      <c r="K27" s="8"/>
      <c r="L27" s="8"/>
    </row>
    <row r="28">
      <c r="A28" s="2" t="s">
        <v>8</v>
      </c>
      <c r="B28" s="2" t="s">
        <v>49</v>
      </c>
      <c r="C28" s="3" t="s">
        <v>50</v>
      </c>
      <c r="D28" s="3"/>
      <c r="E28" s="4" t="s">
        <v>20</v>
      </c>
      <c r="F28" s="3">
        <v>0.56</v>
      </c>
      <c r="G28" s="3"/>
      <c r="H28" s="3" t="str">
        <f t="shared" si="1"/>
        <v>low</v>
      </c>
      <c r="I28" s="5"/>
      <c r="J28" s="3"/>
      <c r="K28" s="8"/>
      <c r="L28" s="8"/>
    </row>
    <row r="29">
      <c r="A29" s="2" t="s">
        <v>8</v>
      </c>
      <c r="B29" s="2" t="s">
        <v>51</v>
      </c>
      <c r="C29" s="3">
        <v>-4.1</v>
      </c>
      <c r="D29" s="3"/>
      <c r="E29" s="4" t="s">
        <v>20</v>
      </c>
      <c r="F29" s="3">
        <v>0.86</v>
      </c>
      <c r="G29" s="3"/>
      <c r="H29" s="3" t="str">
        <f t="shared" si="1"/>
        <v>high</v>
      </c>
      <c r="I29" s="5"/>
      <c r="J29" s="3"/>
      <c r="K29" s="8"/>
      <c r="L29" s="8"/>
    </row>
    <row r="30">
      <c r="A30" s="2" t="s">
        <v>8</v>
      </c>
      <c r="B30" s="2" t="s">
        <v>52</v>
      </c>
      <c r="C30" s="3">
        <v>-6.5</v>
      </c>
      <c r="D30" s="3"/>
      <c r="E30" s="4" t="s">
        <v>20</v>
      </c>
      <c r="F30" s="3">
        <v>0.66</v>
      </c>
      <c r="G30" s="3"/>
      <c r="H30" s="3" t="str">
        <f t="shared" si="1"/>
        <v>medium</v>
      </c>
      <c r="I30" s="5"/>
      <c r="J30" s="3"/>
      <c r="K30" s="8"/>
      <c r="L30" s="8"/>
    </row>
    <row r="31">
      <c r="A31" s="2" t="s">
        <v>8</v>
      </c>
      <c r="B31" s="2" t="s">
        <v>53</v>
      </c>
      <c r="C31" s="3">
        <v>4.2</v>
      </c>
      <c r="D31" s="3"/>
      <c r="E31" s="4" t="s">
        <v>14</v>
      </c>
      <c r="F31" s="3">
        <v>0.8</v>
      </c>
      <c r="G31" s="3"/>
      <c r="H31" s="3" t="str">
        <f t="shared" si="1"/>
        <v>medium</v>
      </c>
      <c r="I31" s="5"/>
      <c r="J31" s="3"/>
      <c r="K31" s="8"/>
      <c r="L31" s="8"/>
    </row>
    <row r="32">
      <c r="A32" s="2" t="s">
        <v>8</v>
      </c>
      <c r="B32" s="2" t="s">
        <v>54</v>
      </c>
      <c r="C32" s="3">
        <v>-7.5</v>
      </c>
      <c r="D32" s="3"/>
      <c r="E32" s="4" t="s">
        <v>20</v>
      </c>
      <c r="F32" s="3">
        <v>0.71</v>
      </c>
      <c r="G32" s="3"/>
      <c r="H32" s="3" t="str">
        <f t="shared" si="1"/>
        <v>medium</v>
      </c>
      <c r="I32" s="5"/>
      <c r="J32" s="3"/>
      <c r="K32" s="8"/>
      <c r="L32" s="8"/>
    </row>
    <row r="33">
      <c r="A33" s="2" t="s">
        <v>8</v>
      </c>
      <c r="B33" s="2" t="s">
        <v>55</v>
      </c>
      <c r="C33" s="3" t="s">
        <v>56</v>
      </c>
      <c r="D33" s="3"/>
      <c r="E33" s="4" t="s">
        <v>20</v>
      </c>
      <c r="F33" s="3">
        <v>0.71</v>
      </c>
      <c r="G33" s="3"/>
      <c r="H33" s="3" t="str">
        <f t="shared" si="1"/>
        <v>medium</v>
      </c>
      <c r="I33" s="5"/>
      <c r="J33" s="3"/>
      <c r="K33" s="8"/>
      <c r="L33" s="8"/>
    </row>
    <row r="34">
      <c r="A34" s="2" t="s">
        <v>8</v>
      </c>
      <c r="B34" s="2" t="s">
        <v>57</v>
      </c>
      <c r="C34" s="3">
        <v>-2.8</v>
      </c>
      <c r="D34" s="3"/>
      <c r="E34" s="4" t="s">
        <v>10</v>
      </c>
      <c r="F34" s="3">
        <v>0.9</v>
      </c>
      <c r="G34" s="3"/>
      <c r="H34" s="3" t="str">
        <f t="shared" si="1"/>
        <v>high</v>
      </c>
      <c r="I34" s="14"/>
      <c r="J34" s="3"/>
      <c r="K34" s="8"/>
      <c r="L34" s="8"/>
    </row>
    <row r="35">
      <c r="A35" s="2" t="s">
        <v>8</v>
      </c>
      <c r="B35" s="2" t="s">
        <v>58</v>
      </c>
      <c r="C35" s="3">
        <v>-6.4</v>
      </c>
      <c r="D35" s="3"/>
      <c r="E35" s="4" t="s">
        <v>20</v>
      </c>
      <c r="F35" s="3">
        <v>0.65</v>
      </c>
      <c r="G35" s="3"/>
      <c r="H35" s="3" t="str">
        <f t="shared" si="1"/>
        <v>medium</v>
      </c>
      <c r="I35" s="14"/>
      <c r="J35" s="3"/>
      <c r="K35" s="8"/>
      <c r="L35" s="8"/>
    </row>
    <row r="36">
      <c r="A36" s="2" t="s">
        <v>8</v>
      </c>
      <c r="B36" s="2" t="s">
        <v>59</v>
      </c>
      <c r="C36" s="3">
        <v>-3.6</v>
      </c>
      <c r="D36" s="3"/>
      <c r="E36" s="4" t="s">
        <v>20</v>
      </c>
      <c r="F36" s="3">
        <v>0.82</v>
      </c>
      <c r="G36" s="3"/>
      <c r="H36" s="3" t="str">
        <f t="shared" si="1"/>
        <v>medium</v>
      </c>
      <c r="I36" s="14"/>
      <c r="J36" s="3"/>
      <c r="K36" s="8"/>
      <c r="L36" s="8"/>
    </row>
    <row r="37">
      <c r="A37" s="15" t="s">
        <v>8</v>
      </c>
      <c r="B37" s="15" t="s">
        <v>60</v>
      </c>
      <c r="C37" s="16">
        <v>-3.3</v>
      </c>
      <c r="D37" s="16"/>
      <c r="E37" s="4" t="s">
        <v>10</v>
      </c>
      <c r="F37" s="3">
        <v>0.65</v>
      </c>
      <c r="G37" s="16"/>
      <c r="H37" s="3" t="str">
        <f t="shared" si="1"/>
        <v>medium</v>
      </c>
      <c r="I37" s="17"/>
      <c r="J37" s="16"/>
      <c r="K37" s="18"/>
      <c r="L37" s="18"/>
    </row>
    <row r="38">
      <c r="A38" s="19" t="s">
        <v>61</v>
      </c>
      <c r="B38" s="20" t="s">
        <v>62</v>
      </c>
      <c r="C38" s="21"/>
      <c r="D38" s="22">
        <v>4.708333</v>
      </c>
      <c r="E38" s="23" t="str">
        <f t="shared" ref="E38:E71" si="2">IF($D38&lt;2.5,"left",IF($D38&lt;3.5,"center","right"))</f>
        <v>right</v>
      </c>
      <c r="F38" s="23"/>
      <c r="G38" s="22">
        <v>2.888889</v>
      </c>
      <c r="H38" s="23" t="str">
        <f t="shared" ref="H38:H48" si="3">IF($G38&lt;PERCENTILE($G$38:$G$48,0.33),"low",IF($G38&gt;PERCENTILE($G$38:$G$48,0.66),"high","medium"))</f>
        <v>medium</v>
      </c>
      <c r="I38" s="24"/>
      <c r="J38" s="25"/>
      <c r="K38" s="26"/>
      <c r="L38" s="27"/>
    </row>
    <row r="39">
      <c r="A39" s="19" t="s">
        <v>61</v>
      </c>
      <c r="B39" s="20" t="s">
        <v>63</v>
      </c>
      <c r="C39" s="21"/>
      <c r="D39" s="28">
        <v>4.2</v>
      </c>
      <c r="E39" s="29" t="str">
        <f t="shared" si="2"/>
        <v>right</v>
      </c>
      <c r="F39" s="29"/>
      <c r="G39" s="22">
        <v>2.680556</v>
      </c>
      <c r="H39" s="29" t="str">
        <f t="shared" si="3"/>
        <v>low</v>
      </c>
      <c r="I39" s="24"/>
      <c r="J39" s="25"/>
      <c r="K39" s="26"/>
      <c r="L39" s="27"/>
    </row>
    <row r="40">
      <c r="A40" s="19" t="s">
        <v>61</v>
      </c>
      <c r="B40" s="20" t="s">
        <v>64</v>
      </c>
      <c r="C40" s="21"/>
      <c r="D40" s="22">
        <v>4.230769</v>
      </c>
      <c r="E40" s="29" t="str">
        <f t="shared" si="2"/>
        <v>right</v>
      </c>
      <c r="F40" s="29"/>
      <c r="G40" s="22">
        <v>2.847222</v>
      </c>
      <c r="H40" s="29" t="str">
        <f t="shared" si="3"/>
        <v>medium</v>
      </c>
      <c r="I40" s="24"/>
      <c r="J40" s="25"/>
      <c r="K40" s="26"/>
      <c r="L40" s="27"/>
    </row>
    <row r="41">
      <c r="A41" s="19" t="s">
        <v>61</v>
      </c>
      <c r="B41" s="20" t="s">
        <v>65</v>
      </c>
      <c r="C41" s="21"/>
      <c r="D41" s="22">
        <v>2.346154</v>
      </c>
      <c r="E41" s="29" t="str">
        <f t="shared" si="2"/>
        <v>left</v>
      </c>
      <c r="F41" s="29"/>
      <c r="G41" s="22">
        <v>3.397436</v>
      </c>
      <c r="H41" s="29" t="str">
        <f t="shared" si="3"/>
        <v>high</v>
      </c>
      <c r="I41" s="24"/>
      <c r="J41" s="25"/>
      <c r="K41" s="26"/>
      <c r="L41" s="27"/>
    </row>
    <row r="42">
      <c r="A42" s="19" t="s">
        <v>61</v>
      </c>
      <c r="B42" s="20" t="s">
        <v>66</v>
      </c>
      <c r="C42" s="21"/>
      <c r="D42" s="22">
        <v>3.24</v>
      </c>
      <c r="E42" s="29" t="str">
        <f t="shared" si="2"/>
        <v>center</v>
      </c>
      <c r="F42" s="29"/>
      <c r="G42" s="22">
        <v>3.393939</v>
      </c>
      <c r="H42" s="29" t="str">
        <f t="shared" si="3"/>
        <v>high</v>
      </c>
      <c r="I42" s="24"/>
      <c r="J42" s="25"/>
      <c r="K42" s="26"/>
      <c r="L42" s="27"/>
    </row>
    <row r="43">
      <c r="A43" s="19" t="s">
        <v>61</v>
      </c>
      <c r="B43" s="20" t="s">
        <v>67</v>
      </c>
      <c r="C43" s="21"/>
      <c r="D43" s="22">
        <v>1.416667</v>
      </c>
      <c r="E43" s="29" t="str">
        <f t="shared" si="2"/>
        <v>left</v>
      </c>
      <c r="F43" s="29"/>
      <c r="G43" s="22">
        <v>2.954545</v>
      </c>
      <c r="H43" s="29" t="str">
        <f t="shared" si="3"/>
        <v>medium</v>
      </c>
      <c r="I43" s="24"/>
      <c r="J43" s="25"/>
      <c r="K43" s="26"/>
      <c r="L43" s="27"/>
    </row>
    <row r="44">
      <c r="A44" s="19" t="s">
        <v>61</v>
      </c>
      <c r="B44" s="20" t="s">
        <v>68</v>
      </c>
      <c r="C44" s="21"/>
      <c r="D44" s="22">
        <v>2.64</v>
      </c>
      <c r="E44" s="29" t="str">
        <f t="shared" si="2"/>
        <v>center</v>
      </c>
      <c r="F44" s="29"/>
      <c r="G44" s="22">
        <v>3.56</v>
      </c>
      <c r="H44" s="29" t="str">
        <f t="shared" si="3"/>
        <v>high</v>
      </c>
      <c r="I44" s="24" t="s">
        <v>69</v>
      </c>
      <c r="J44" s="25"/>
      <c r="K44" s="26"/>
      <c r="L44" s="27"/>
    </row>
    <row r="45">
      <c r="A45" s="19" t="s">
        <v>61</v>
      </c>
      <c r="B45" s="20" t="s">
        <v>70</v>
      </c>
      <c r="C45" s="21"/>
      <c r="D45" s="22">
        <v>3.92</v>
      </c>
      <c r="E45" s="29" t="str">
        <f t="shared" si="2"/>
        <v>right</v>
      </c>
      <c r="F45" s="29"/>
      <c r="G45" s="22">
        <v>2.625</v>
      </c>
      <c r="H45" s="29" t="str">
        <f t="shared" si="3"/>
        <v>low</v>
      </c>
      <c r="I45" s="24"/>
      <c r="J45" s="25"/>
      <c r="K45" s="26"/>
      <c r="L45" s="27"/>
    </row>
    <row r="46">
      <c r="A46" s="19" t="s">
        <v>61</v>
      </c>
      <c r="B46" s="20" t="s">
        <v>71</v>
      </c>
      <c r="C46" s="21"/>
      <c r="D46" s="22">
        <v>1.6</v>
      </c>
      <c r="E46" s="29" t="str">
        <f t="shared" si="2"/>
        <v>left</v>
      </c>
      <c r="F46" s="29"/>
      <c r="G46" s="22">
        <v>3.136364</v>
      </c>
      <c r="H46" s="29" t="str">
        <f t="shared" si="3"/>
        <v>high</v>
      </c>
      <c r="I46" s="24"/>
      <c r="J46" s="25"/>
      <c r="K46" s="26"/>
      <c r="L46" s="27"/>
    </row>
    <row r="47">
      <c r="A47" s="19" t="s">
        <v>61</v>
      </c>
      <c r="B47" s="20" t="s">
        <v>72</v>
      </c>
      <c r="C47" s="21"/>
      <c r="D47" s="22">
        <v>2.04</v>
      </c>
      <c r="E47" s="29" t="str">
        <f t="shared" si="2"/>
        <v>left</v>
      </c>
      <c r="F47" s="29"/>
      <c r="G47" s="22">
        <v>2.653333</v>
      </c>
      <c r="H47" s="29" t="str">
        <f t="shared" si="3"/>
        <v>low</v>
      </c>
      <c r="I47" s="24"/>
      <c r="J47" s="25"/>
      <c r="K47" s="26"/>
      <c r="L47" s="27"/>
    </row>
    <row r="48">
      <c r="A48" s="30" t="s">
        <v>61</v>
      </c>
      <c r="B48" s="31" t="s">
        <v>73</v>
      </c>
      <c r="C48" s="32"/>
      <c r="D48" s="33">
        <v>4.809524</v>
      </c>
      <c r="E48" s="29" t="str">
        <f t="shared" si="2"/>
        <v>right</v>
      </c>
      <c r="F48" s="29"/>
      <c r="G48" s="33">
        <v>1.62963</v>
      </c>
      <c r="H48" s="34" t="str">
        <f t="shared" si="3"/>
        <v>low</v>
      </c>
      <c r="I48" s="35"/>
      <c r="J48" s="36"/>
      <c r="K48" s="37"/>
      <c r="L48" s="38"/>
    </row>
    <row r="49">
      <c r="A49" s="1" t="s">
        <v>74</v>
      </c>
      <c r="B49" s="1" t="s">
        <v>75</v>
      </c>
      <c r="D49" s="39">
        <v>4.25</v>
      </c>
      <c r="E49" s="40" t="str">
        <f t="shared" si="2"/>
        <v>right</v>
      </c>
      <c r="F49" s="40"/>
      <c r="G49" s="41">
        <v>3.125</v>
      </c>
      <c r="H49" s="3" t="str">
        <f t="shared" ref="H49:H55" si="4">IF($G49&lt;PERCENTILE($G$49:$G$55,0.33),"low",IF($G49&gt;PERCENTILE($G$49:$G$55,0.66),"high","medium"))</f>
        <v>medium</v>
      </c>
      <c r="I49" s="42"/>
      <c r="J49" s="43"/>
      <c r="K49" s="44"/>
      <c r="L49" s="44"/>
    </row>
    <row r="50">
      <c r="A50" s="1" t="s">
        <v>74</v>
      </c>
      <c r="B50" s="1" t="s">
        <v>76</v>
      </c>
      <c r="D50" s="39">
        <v>2.375</v>
      </c>
      <c r="E50" s="45" t="str">
        <f t="shared" si="2"/>
        <v>left</v>
      </c>
      <c r="F50" s="45"/>
      <c r="G50" s="41">
        <v>3.5</v>
      </c>
      <c r="H50" s="3" t="str">
        <f t="shared" si="4"/>
        <v>high</v>
      </c>
      <c r="I50" s="42"/>
      <c r="J50" s="43"/>
      <c r="K50" s="44"/>
      <c r="L50" s="44"/>
    </row>
    <row r="51">
      <c r="A51" s="1" t="s">
        <v>74</v>
      </c>
      <c r="B51" s="1" t="s">
        <v>77</v>
      </c>
      <c r="D51" s="46">
        <v>1.75</v>
      </c>
      <c r="E51" s="45" t="str">
        <f t="shared" si="2"/>
        <v>left</v>
      </c>
      <c r="F51" s="45"/>
      <c r="G51" s="46">
        <v>3.166667</v>
      </c>
      <c r="H51" s="3" t="str">
        <f t="shared" si="4"/>
        <v>high</v>
      </c>
      <c r="I51" s="42"/>
      <c r="J51" s="43"/>
      <c r="K51" s="44"/>
      <c r="L51" s="44"/>
    </row>
    <row r="52">
      <c r="A52" s="1" t="s">
        <v>74</v>
      </c>
      <c r="B52" s="1" t="s">
        <v>78</v>
      </c>
      <c r="D52" s="39">
        <v>2.833333</v>
      </c>
      <c r="E52" s="45" t="str">
        <f t="shared" si="2"/>
        <v>center</v>
      </c>
      <c r="F52" s="45"/>
      <c r="G52" s="41">
        <v>3.0</v>
      </c>
      <c r="H52" s="3" t="str">
        <f t="shared" si="4"/>
        <v>low</v>
      </c>
      <c r="I52" s="42"/>
      <c r="J52" s="43"/>
      <c r="K52" s="44"/>
      <c r="L52" s="44"/>
    </row>
    <row r="53">
      <c r="A53" s="1" t="s">
        <v>74</v>
      </c>
      <c r="B53" s="1" t="s">
        <v>79</v>
      </c>
      <c r="D53" s="46">
        <v>1.25</v>
      </c>
      <c r="E53" s="45" t="str">
        <f t="shared" si="2"/>
        <v>left</v>
      </c>
      <c r="F53" s="45"/>
      <c r="G53" s="46">
        <v>3.041667</v>
      </c>
      <c r="H53" s="3" t="str">
        <f t="shared" si="4"/>
        <v>medium</v>
      </c>
      <c r="I53" s="42"/>
      <c r="J53" s="43"/>
      <c r="K53" s="44"/>
      <c r="L53" s="44"/>
    </row>
    <row r="54">
      <c r="A54" s="1" t="s">
        <v>74</v>
      </c>
      <c r="B54" s="1" t="s">
        <v>80</v>
      </c>
      <c r="D54" s="39">
        <v>1.5</v>
      </c>
      <c r="E54" s="45" t="str">
        <f t="shared" si="2"/>
        <v>left</v>
      </c>
      <c r="F54" s="45"/>
      <c r="G54" s="41">
        <v>3.166667</v>
      </c>
      <c r="H54" s="3" t="str">
        <f t="shared" si="4"/>
        <v>high</v>
      </c>
      <c r="I54" s="42"/>
      <c r="J54" s="43"/>
      <c r="K54" s="44"/>
      <c r="L54" s="44"/>
    </row>
    <row r="55">
      <c r="A55" s="1" t="s">
        <v>74</v>
      </c>
      <c r="B55" s="1" t="s">
        <v>81</v>
      </c>
      <c r="D55" s="46">
        <v>5.0</v>
      </c>
      <c r="E55" s="47" t="str">
        <f t="shared" si="2"/>
        <v>right</v>
      </c>
      <c r="F55" s="47"/>
      <c r="G55" s="48">
        <v>1.777778</v>
      </c>
      <c r="H55" s="3" t="str">
        <f t="shared" si="4"/>
        <v>low</v>
      </c>
      <c r="I55" s="49"/>
      <c r="J55" s="50"/>
      <c r="K55" s="51"/>
      <c r="L55" s="51"/>
    </row>
    <row r="56">
      <c r="A56" s="52" t="s">
        <v>82</v>
      </c>
      <c r="B56" s="53" t="s">
        <v>83</v>
      </c>
      <c r="C56" s="54"/>
      <c r="D56" s="55">
        <v>3.142857</v>
      </c>
      <c r="E56" s="29" t="str">
        <f t="shared" si="2"/>
        <v>center</v>
      </c>
      <c r="F56" s="29"/>
      <c r="G56" s="55">
        <v>3.52381</v>
      </c>
      <c r="H56" s="23" t="str">
        <f t="shared" ref="H56:H71" si="5">IF($G56&lt;PERCENTILE($G$56:$G$71,0.33),"low",IF($G56&gt;PERCENTILE($G$56:$G$71,0.66),"high","medium"))</f>
        <v>high</v>
      </c>
      <c r="I56" s="56"/>
      <c r="J56" s="57"/>
      <c r="K56" s="58"/>
      <c r="L56" s="59"/>
    </row>
    <row r="57">
      <c r="A57" s="19" t="s">
        <v>82</v>
      </c>
      <c r="B57" s="20" t="s">
        <v>84</v>
      </c>
      <c r="C57" s="21"/>
      <c r="D57" s="22">
        <v>3.818182</v>
      </c>
      <c r="E57" s="29" t="str">
        <f t="shared" si="2"/>
        <v>right</v>
      </c>
      <c r="F57" s="29"/>
      <c r="G57" s="22">
        <v>1.787879</v>
      </c>
      <c r="H57" s="29" t="str">
        <f t="shared" si="5"/>
        <v>low</v>
      </c>
      <c r="I57" s="24"/>
      <c r="J57" s="25"/>
      <c r="K57" s="26"/>
      <c r="L57" s="27"/>
    </row>
    <row r="58">
      <c r="A58" s="19" t="s">
        <v>82</v>
      </c>
      <c r="B58" s="20" t="s">
        <v>85</v>
      </c>
      <c r="C58" s="21"/>
      <c r="D58" s="22">
        <v>1.8125</v>
      </c>
      <c r="E58" s="29" t="str">
        <f t="shared" si="2"/>
        <v>left</v>
      </c>
      <c r="F58" s="29"/>
      <c r="G58" s="22">
        <v>3.066667</v>
      </c>
      <c r="H58" s="29" t="str">
        <f t="shared" si="5"/>
        <v>high</v>
      </c>
      <c r="I58" s="24"/>
      <c r="J58" s="25"/>
      <c r="K58" s="26"/>
      <c r="L58" s="27"/>
    </row>
    <row r="59">
      <c r="A59" s="19" t="s">
        <v>82</v>
      </c>
      <c r="B59" s="20" t="s">
        <v>86</v>
      </c>
      <c r="C59" s="21"/>
      <c r="D59" s="22">
        <v>1.933333</v>
      </c>
      <c r="E59" s="29" t="str">
        <f t="shared" si="2"/>
        <v>left</v>
      </c>
      <c r="F59" s="29"/>
      <c r="G59" s="22">
        <v>2.928571</v>
      </c>
      <c r="H59" s="29" t="str">
        <f t="shared" si="5"/>
        <v>medium</v>
      </c>
      <c r="I59" s="24"/>
      <c r="J59" s="25"/>
      <c r="K59" s="26"/>
      <c r="L59" s="27"/>
    </row>
    <row r="60">
      <c r="A60" s="19" t="s">
        <v>82</v>
      </c>
      <c r="B60" s="20" t="s">
        <v>87</v>
      </c>
      <c r="C60" s="21"/>
      <c r="D60" s="22">
        <v>4.714286</v>
      </c>
      <c r="E60" s="29" t="str">
        <f t="shared" si="2"/>
        <v>right</v>
      </c>
      <c r="F60" s="29"/>
      <c r="G60" s="22">
        <v>2.9</v>
      </c>
      <c r="H60" s="29" t="str">
        <f t="shared" si="5"/>
        <v>medium</v>
      </c>
      <c r="I60" s="24"/>
      <c r="J60" s="25"/>
      <c r="K60" s="26"/>
      <c r="L60" s="27"/>
    </row>
    <row r="61">
      <c r="A61" s="19" t="s">
        <v>82</v>
      </c>
      <c r="B61" s="20" t="s">
        <v>88</v>
      </c>
      <c r="C61" s="21"/>
      <c r="D61" s="22">
        <v>4.636364</v>
      </c>
      <c r="E61" s="29" t="str">
        <f t="shared" si="2"/>
        <v>right</v>
      </c>
      <c r="F61" s="29"/>
      <c r="G61" s="22">
        <v>1.541667</v>
      </c>
      <c r="H61" s="29" t="str">
        <f t="shared" si="5"/>
        <v>low</v>
      </c>
      <c r="I61" s="24"/>
      <c r="J61" s="25"/>
      <c r="K61" s="26"/>
      <c r="L61" s="27"/>
    </row>
    <row r="62">
      <c r="A62" s="19" t="s">
        <v>82</v>
      </c>
      <c r="B62" s="20" t="s">
        <v>89</v>
      </c>
      <c r="C62" s="21"/>
      <c r="D62" s="22">
        <v>2.4</v>
      </c>
      <c r="E62" s="29" t="str">
        <f t="shared" si="2"/>
        <v>left</v>
      </c>
      <c r="F62" s="29"/>
      <c r="G62" s="22">
        <v>2.974359</v>
      </c>
      <c r="H62" s="29" t="str">
        <f t="shared" si="5"/>
        <v>medium</v>
      </c>
      <c r="I62" s="24"/>
      <c r="J62" s="25"/>
      <c r="K62" s="26"/>
      <c r="L62" s="27"/>
    </row>
    <row r="63">
      <c r="A63" s="19" t="s">
        <v>82</v>
      </c>
      <c r="B63" s="20" t="s">
        <v>90</v>
      </c>
      <c r="C63" s="21"/>
      <c r="D63" s="22">
        <v>2.357143</v>
      </c>
      <c r="E63" s="29" t="str">
        <f t="shared" si="2"/>
        <v>left</v>
      </c>
      <c r="F63" s="29"/>
      <c r="G63" s="22">
        <v>3.02381</v>
      </c>
      <c r="H63" s="29" t="str">
        <f t="shared" si="5"/>
        <v>high</v>
      </c>
      <c r="I63" s="24"/>
      <c r="J63" s="25"/>
      <c r="K63" s="26"/>
      <c r="L63" s="27"/>
    </row>
    <row r="64">
      <c r="A64" s="19" t="s">
        <v>82</v>
      </c>
      <c r="B64" s="20" t="s">
        <v>91</v>
      </c>
      <c r="C64" s="21"/>
      <c r="D64" s="22">
        <v>1.8125</v>
      </c>
      <c r="E64" s="29" t="str">
        <f t="shared" si="2"/>
        <v>left</v>
      </c>
      <c r="F64" s="29"/>
      <c r="G64" s="22">
        <v>3.355556</v>
      </c>
      <c r="H64" s="29" t="str">
        <f t="shared" si="5"/>
        <v>high</v>
      </c>
      <c r="I64" s="24"/>
      <c r="J64" s="25"/>
      <c r="K64" s="26"/>
      <c r="L64" s="27"/>
    </row>
    <row r="65">
      <c r="A65" s="19" t="s">
        <v>82</v>
      </c>
      <c r="B65" s="20" t="s">
        <v>92</v>
      </c>
      <c r="C65" s="21"/>
      <c r="D65" s="22">
        <v>3.5625</v>
      </c>
      <c r="E65" s="29" t="str">
        <f t="shared" si="2"/>
        <v>right</v>
      </c>
      <c r="F65" s="29"/>
      <c r="G65" s="22">
        <v>3.461538</v>
      </c>
      <c r="H65" s="29" t="str">
        <f t="shared" si="5"/>
        <v>high</v>
      </c>
      <c r="I65" s="24"/>
      <c r="J65" s="25"/>
      <c r="K65" s="26"/>
      <c r="L65" s="27"/>
    </row>
    <row r="66">
      <c r="A66" s="19" t="s">
        <v>82</v>
      </c>
      <c r="B66" s="20" t="s">
        <v>93</v>
      </c>
      <c r="C66" s="21"/>
      <c r="D66" s="22">
        <v>3.7</v>
      </c>
      <c r="E66" s="29" t="str">
        <f t="shared" si="2"/>
        <v>right</v>
      </c>
      <c r="F66" s="29"/>
      <c r="G66" s="22">
        <v>1.787879</v>
      </c>
      <c r="H66" s="29" t="str">
        <f t="shared" si="5"/>
        <v>low</v>
      </c>
      <c r="I66" s="24"/>
      <c r="J66" s="25"/>
      <c r="K66" s="26"/>
      <c r="L66" s="27"/>
    </row>
    <row r="67">
      <c r="A67" s="19" t="s">
        <v>82</v>
      </c>
      <c r="B67" s="20" t="s">
        <v>94</v>
      </c>
      <c r="C67" s="21"/>
      <c r="D67" s="22">
        <v>2.4375</v>
      </c>
      <c r="E67" s="29" t="str">
        <f t="shared" si="2"/>
        <v>left</v>
      </c>
      <c r="F67" s="29"/>
      <c r="G67" s="22">
        <v>3.044444</v>
      </c>
      <c r="H67" s="29" t="str">
        <f t="shared" si="5"/>
        <v>high</v>
      </c>
      <c r="I67" s="24"/>
      <c r="J67" s="25"/>
      <c r="K67" s="26"/>
      <c r="L67" s="27"/>
    </row>
    <row r="68">
      <c r="A68" s="19" t="s">
        <v>82</v>
      </c>
      <c r="B68" s="20" t="s">
        <v>95</v>
      </c>
      <c r="C68" s="21"/>
      <c r="D68" s="22">
        <v>4.733333</v>
      </c>
      <c r="E68" s="29" t="str">
        <f t="shared" si="2"/>
        <v>right</v>
      </c>
      <c r="F68" s="29"/>
      <c r="G68" s="22">
        <v>2.128205</v>
      </c>
      <c r="H68" s="29" t="str">
        <f t="shared" si="5"/>
        <v>low</v>
      </c>
      <c r="I68" s="24"/>
      <c r="J68" s="25"/>
      <c r="K68" s="26"/>
      <c r="L68" s="27"/>
    </row>
    <row r="69">
      <c r="A69" s="19" t="s">
        <v>82</v>
      </c>
      <c r="B69" s="20" t="s">
        <v>96</v>
      </c>
      <c r="C69" s="21"/>
      <c r="D69" s="22">
        <v>4.428571</v>
      </c>
      <c r="E69" s="29" t="str">
        <f t="shared" si="2"/>
        <v>right</v>
      </c>
      <c r="F69" s="29"/>
      <c r="G69" s="22">
        <v>1.416667</v>
      </c>
      <c r="H69" s="29" t="str">
        <f t="shared" si="5"/>
        <v>low</v>
      </c>
      <c r="I69" s="24"/>
      <c r="J69" s="25"/>
      <c r="K69" s="26"/>
      <c r="L69" s="27"/>
    </row>
    <row r="70">
      <c r="A70" s="19" t="s">
        <v>82</v>
      </c>
      <c r="B70" s="20" t="s">
        <v>97</v>
      </c>
      <c r="C70" s="21"/>
      <c r="D70" s="22">
        <v>2.833333</v>
      </c>
      <c r="E70" s="29" t="str">
        <f t="shared" si="2"/>
        <v>center</v>
      </c>
      <c r="F70" s="29"/>
      <c r="G70" s="22">
        <v>2.694444</v>
      </c>
      <c r="H70" s="29" t="str">
        <f t="shared" si="5"/>
        <v>medium</v>
      </c>
      <c r="I70" s="24"/>
      <c r="J70" s="25"/>
      <c r="K70" s="26"/>
      <c r="L70" s="27"/>
    </row>
    <row r="71">
      <c r="A71" s="30" t="s">
        <v>82</v>
      </c>
      <c r="B71" s="31" t="s">
        <v>98</v>
      </c>
      <c r="C71" s="32"/>
      <c r="D71" s="33">
        <v>2.928571</v>
      </c>
      <c r="E71" s="29" t="str">
        <f t="shared" si="2"/>
        <v>center</v>
      </c>
      <c r="F71" s="29"/>
      <c r="G71" s="33">
        <v>2.904762</v>
      </c>
      <c r="H71" s="34" t="str">
        <f t="shared" si="5"/>
        <v>medium</v>
      </c>
      <c r="I71" s="35"/>
      <c r="J71" s="36"/>
      <c r="K71" s="37"/>
      <c r="L71" s="38"/>
    </row>
    <row r="72">
      <c r="A72" s="1" t="s">
        <v>99</v>
      </c>
      <c r="B72" s="1" t="s">
        <v>100</v>
      </c>
      <c r="D72" s="60"/>
      <c r="E72" s="40"/>
      <c r="F72" s="40"/>
      <c r="G72" s="61"/>
      <c r="H72" s="3"/>
      <c r="I72" s="42" t="s">
        <v>101</v>
      </c>
      <c r="J72" s="43"/>
      <c r="K72" s="44"/>
      <c r="L72" s="44"/>
    </row>
    <row r="73">
      <c r="A73" s="1" t="s">
        <v>99</v>
      </c>
      <c r="B73" s="1" t="s">
        <v>102</v>
      </c>
      <c r="D73" s="39">
        <v>2.666667</v>
      </c>
      <c r="E73" s="45" t="str">
        <f t="shared" ref="E73:E92" si="6">IF($D73&lt;2.5,"left",IF($D73&lt;3.5,"center","right"))</f>
        <v>center</v>
      </c>
      <c r="F73" s="45"/>
      <c r="G73" s="41">
        <v>3.25</v>
      </c>
      <c r="H73" s="3" t="str">
        <f t="shared" ref="H73:H81" si="7">IF($G73&lt;PERCENTILE($G$73:$G$81,0.33),"low",IF($G73&gt;PERCENTILE($G$73:$G$81,0.66),"high","medium"))</f>
        <v>medium</v>
      </c>
      <c r="I73" s="42"/>
      <c r="J73" s="43"/>
      <c r="K73" s="44"/>
      <c r="L73" s="44"/>
    </row>
    <row r="74">
      <c r="A74" s="1" t="s">
        <v>99</v>
      </c>
      <c r="B74" s="1" t="s">
        <v>103</v>
      </c>
      <c r="D74" s="39">
        <v>3.666667</v>
      </c>
      <c r="E74" s="45" t="str">
        <f t="shared" si="6"/>
        <v>right</v>
      </c>
      <c r="F74" s="45"/>
      <c r="G74" s="41">
        <v>3.25</v>
      </c>
      <c r="H74" s="3" t="str">
        <f t="shared" si="7"/>
        <v>medium</v>
      </c>
      <c r="I74" s="42"/>
      <c r="J74" s="43"/>
      <c r="K74" s="44"/>
      <c r="L74" s="44"/>
    </row>
    <row r="75">
      <c r="A75" s="1" t="s">
        <v>99</v>
      </c>
      <c r="B75" s="1" t="s">
        <v>104</v>
      </c>
      <c r="D75" s="39">
        <v>3.25</v>
      </c>
      <c r="E75" s="45" t="str">
        <f t="shared" si="6"/>
        <v>center</v>
      </c>
      <c r="F75" s="45"/>
      <c r="G75" s="41">
        <v>2.833333</v>
      </c>
      <c r="H75" s="3" t="str">
        <f t="shared" si="7"/>
        <v>low</v>
      </c>
      <c r="I75" s="42"/>
      <c r="J75" s="43"/>
      <c r="K75" s="44"/>
      <c r="L75" s="44"/>
    </row>
    <row r="76">
      <c r="A76" s="1" t="s">
        <v>99</v>
      </c>
      <c r="B76" s="1" t="s">
        <v>105</v>
      </c>
      <c r="D76" s="39">
        <v>3.0</v>
      </c>
      <c r="E76" s="45" t="str">
        <f t="shared" si="6"/>
        <v>center</v>
      </c>
      <c r="F76" s="45"/>
      <c r="G76" s="41">
        <v>3.533333</v>
      </c>
      <c r="H76" s="3" t="str">
        <f t="shared" si="7"/>
        <v>high</v>
      </c>
      <c r="I76" s="42"/>
      <c r="J76" s="43"/>
      <c r="K76" s="44"/>
      <c r="L76" s="44"/>
    </row>
    <row r="77">
      <c r="A77" s="1" t="s">
        <v>99</v>
      </c>
      <c r="B77" s="1" t="s">
        <v>106</v>
      </c>
      <c r="D77" s="39">
        <v>4.0</v>
      </c>
      <c r="E77" s="45" t="str">
        <f t="shared" si="6"/>
        <v>right</v>
      </c>
      <c r="F77" s="45"/>
      <c r="G77" s="41">
        <v>2.666667</v>
      </c>
      <c r="H77" s="3" t="str">
        <f t="shared" si="7"/>
        <v>low</v>
      </c>
      <c r="I77" s="42"/>
      <c r="J77" s="43"/>
      <c r="K77" s="44"/>
      <c r="L77" s="44"/>
    </row>
    <row r="78">
      <c r="A78" s="1" t="s">
        <v>99</v>
      </c>
      <c r="B78" s="1" t="s">
        <v>107</v>
      </c>
      <c r="D78" s="39">
        <v>4.0</v>
      </c>
      <c r="E78" s="45" t="str">
        <f t="shared" si="6"/>
        <v>right</v>
      </c>
      <c r="F78" s="45"/>
      <c r="G78" s="41">
        <v>2.666667</v>
      </c>
      <c r="H78" s="3" t="str">
        <f t="shared" si="7"/>
        <v>low</v>
      </c>
      <c r="I78" s="42"/>
      <c r="J78" s="43"/>
      <c r="K78" s="44"/>
      <c r="L78" s="44"/>
    </row>
    <row r="79">
      <c r="A79" s="1" t="s">
        <v>99</v>
      </c>
      <c r="B79" s="1" t="s">
        <v>108</v>
      </c>
      <c r="D79" s="46">
        <v>3.0</v>
      </c>
      <c r="E79" s="45" t="str">
        <f t="shared" si="6"/>
        <v>center</v>
      </c>
      <c r="F79" s="45"/>
      <c r="G79" s="46">
        <v>3.4</v>
      </c>
      <c r="H79" s="3" t="str">
        <f t="shared" si="7"/>
        <v>high</v>
      </c>
      <c r="I79" s="62"/>
      <c r="J79" s="62"/>
    </row>
    <row r="80">
      <c r="A80" s="1" t="s">
        <v>99</v>
      </c>
      <c r="B80" s="1" t="s">
        <v>109</v>
      </c>
      <c r="D80" s="39">
        <v>2.333333</v>
      </c>
      <c r="E80" s="45" t="str">
        <f t="shared" si="6"/>
        <v>left</v>
      </c>
      <c r="F80" s="45"/>
      <c r="G80" s="41">
        <v>3.333333</v>
      </c>
      <c r="H80" s="3" t="str">
        <f t="shared" si="7"/>
        <v>medium</v>
      </c>
      <c r="I80" s="62"/>
      <c r="J80" s="62"/>
    </row>
    <row r="81">
      <c r="A81" s="1" t="s">
        <v>99</v>
      </c>
      <c r="B81" s="1" t="s">
        <v>110</v>
      </c>
      <c r="D81" s="46">
        <v>3.0</v>
      </c>
      <c r="E81" s="47" t="str">
        <f t="shared" si="6"/>
        <v>center</v>
      </c>
      <c r="F81" s="47"/>
      <c r="G81" s="48">
        <v>3.5</v>
      </c>
      <c r="H81" s="3" t="str">
        <f t="shared" si="7"/>
        <v>high</v>
      </c>
      <c r="I81" s="62"/>
      <c r="J81" s="62"/>
    </row>
    <row r="82">
      <c r="A82" s="52" t="s">
        <v>111</v>
      </c>
      <c r="B82" s="53" t="s">
        <v>31</v>
      </c>
      <c r="C82" s="54"/>
      <c r="D82" s="55">
        <v>3.69697</v>
      </c>
      <c r="E82" s="29" t="str">
        <f t="shared" si="6"/>
        <v>right</v>
      </c>
      <c r="F82" s="29"/>
      <c r="G82" s="55">
        <v>3.452381</v>
      </c>
      <c r="H82" s="23" t="str">
        <f t="shared" ref="H82:H92" si="8">IF($G82&lt;PERCENTILE($G$82:$G$92,0.33),"low",IF($G82&gt;PERCENTILE($G$82:$G$92,0.66),"high","medium"))</f>
        <v>high</v>
      </c>
      <c r="I82" s="63"/>
      <c r="J82" s="63"/>
      <c r="K82" s="54"/>
      <c r="L82" s="64"/>
    </row>
    <row r="83">
      <c r="A83" s="19" t="s">
        <v>111</v>
      </c>
      <c r="B83" s="20" t="s">
        <v>112</v>
      </c>
      <c r="C83" s="21"/>
      <c r="D83" s="22">
        <v>4.903226</v>
      </c>
      <c r="E83" s="29" t="str">
        <f t="shared" si="6"/>
        <v>right</v>
      </c>
      <c r="F83" s="29"/>
      <c r="G83" s="22">
        <v>1.533333</v>
      </c>
      <c r="H83" s="29" t="str">
        <f t="shared" si="8"/>
        <v>low</v>
      </c>
      <c r="I83" s="65"/>
      <c r="J83" s="65"/>
      <c r="K83" s="21"/>
      <c r="L83" s="66"/>
    </row>
    <row r="84">
      <c r="A84" s="19" t="s">
        <v>111</v>
      </c>
      <c r="B84" s="20" t="s">
        <v>113</v>
      </c>
      <c r="C84" s="21"/>
      <c r="D84" s="22">
        <v>3.222222</v>
      </c>
      <c r="E84" s="29" t="str">
        <f t="shared" si="6"/>
        <v>center</v>
      </c>
      <c r="F84" s="29"/>
      <c r="G84" s="22">
        <v>3.095238</v>
      </c>
      <c r="H84" s="29" t="str">
        <f t="shared" si="8"/>
        <v>medium</v>
      </c>
      <c r="I84" s="65"/>
      <c r="J84" s="65"/>
      <c r="K84" s="21"/>
      <c r="L84" s="66"/>
    </row>
    <row r="85">
      <c r="A85" s="19" t="s">
        <v>111</v>
      </c>
      <c r="B85" s="20" t="s">
        <v>114</v>
      </c>
      <c r="C85" s="21"/>
      <c r="D85" s="22">
        <v>3.533333</v>
      </c>
      <c r="E85" s="29" t="str">
        <f t="shared" si="6"/>
        <v>right</v>
      </c>
      <c r="F85" s="29"/>
      <c r="G85" s="22">
        <v>3.2</v>
      </c>
      <c r="H85" s="29" t="str">
        <f t="shared" si="8"/>
        <v>high</v>
      </c>
      <c r="I85" s="65"/>
      <c r="J85" s="65"/>
      <c r="K85" s="21"/>
      <c r="L85" s="66"/>
    </row>
    <row r="86">
      <c r="A86" s="19" t="s">
        <v>111</v>
      </c>
      <c r="B86" s="20" t="s">
        <v>115</v>
      </c>
      <c r="C86" s="21"/>
      <c r="D86" s="22">
        <v>2.121212</v>
      </c>
      <c r="E86" s="29" t="str">
        <f t="shared" si="6"/>
        <v>left</v>
      </c>
      <c r="F86" s="29"/>
      <c r="G86" s="22">
        <v>3.177778</v>
      </c>
      <c r="H86" s="29" t="str">
        <f t="shared" si="8"/>
        <v>high</v>
      </c>
      <c r="I86" s="65"/>
      <c r="J86" s="65"/>
      <c r="K86" s="21"/>
      <c r="L86" s="66"/>
    </row>
    <row r="87">
      <c r="A87" s="19" t="s">
        <v>111</v>
      </c>
      <c r="B87" s="20" t="s">
        <v>116</v>
      </c>
      <c r="C87" s="21"/>
      <c r="D87" s="22">
        <v>2.6875</v>
      </c>
      <c r="E87" s="29" t="str">
        <f t="shared" si="6"/>
        <v>center</v>
      </c>
      <c r="F87" s="29"/>
      <c r="G87" s="22">
        <v>3.043478</v>
      </c>
      <c r="H87" s="29" t="str">
        <f t="shared" si="8"/>
        <v>medium</v>
      </c>
      <c r="I87" s="65"/>
      <c r="J87" s="65"/>
      <c r="K87" s="21"/>
      <c r="L87" s="66"/>
    </row>
    <row r="88">
      <c r="A88" s="19" t="s">
        <v>111</v>
      </c>
      <c r="B88" s="20" t="s">
        <v>117</v>
      </c>
      <c r="C88" s="21"/>
      <c r="D88" s="22">
        <v>4.62069</v>
      </c>
      <c r="E88" s="29" t="str">
        <f t="shared" si="6"/>
        <v>right</v>
      </c>
      <c r="F88" s="29"/>
      <c r="G88" s="22">
        <v>1.946667</v>
      </c>
      <c r="H88" s="29" t="str">
        <f t="shared" si="8"/>
        <v>low</v>
      </c>
      <c r="I88" s="65"/>
      <c r="J88" s="65"/>
      <c r="K88" s="21"/>
      <c r="L88" s="66"/>
    </row>
    <row r="89">
      <c r="A89" s="19" t="s">
        <v>111</v>
      </c>
      <c r="B89" s="20" t="s">
        <v>118</v>
      </c>
      <c r="C89" s="21"/>
      <c r="D89" s="22">
        <v>4.606061</v>
      </c>
      <c r="E89" s="29" t="str">
        <f t="shared" si="6"/>
        <v>right</v>
      </c>
      <c r="F89" s="29"/>
      <c r="G89" s="22">
        <v>2.607143</v>
      </c>
      <c r="H89" s="29" t="str">
        <f t="shared" si="8"/>
        <v>low</v>
      </c>
      <c r="I89" s="65"/>
      <c r="J89" s="65"/>
      <c r="K89" s="21"/>
      <c r="L89" s="66"/>
    </row>
    <row r="90">
      <c r="A90" s="19" t="s">
        <v>111</v>
      </c>
      <c r="B90" s="20" t="s">
        <v>119</v>
      </c>
      <c r="C90" s="21"/>
      <c r="D90" s="22">
        <v>4.0625</v>
      </c>
      <c r="E90" s="29" t="str">
        <f t="shared" si="6"/>
        <v>right</v>
      </c>
      <c r="F90" s="29"/>
      <c r="G90" s="22">
        <v>2.950617</v>
      </c>
      <c r="H90" s="29" t="str">
        <f t="shared" si="8"/>
        <v>medium</v>
      </c>
      <c r="I90" s="28" t="s">
        <v>120</v>
      </c>
      <c r="J90" s="65"/>
      <c r="K90" s="21"/>
      <c r="L90" s="66"/>
    </row>
    <row r="91">
      <c r="A91" s="19" t="s">
        <v>111</v>
      </c>
      <c r="B91" s="20" t="s">
        <v>121</v>
      </c>
      <c r="C91" s="21"/>
      <c r="D91" s="22">
        <v>2.84</v>
      </c>
      <c r="E91" s="29" t="str">
        <f t="shared" si="6"/>
        <v>center</v>
      </c>
      <c r="F91" s="29"/>
      <c r="G91" s="22">
        <v>3.177778</v>
      </c>
      <c r="H91" s="29" t="str">
        <f t="shared" si="8"/>
        <v>high</v>
      </c>
      <c r="I91" s="65"/>
      <c r="J91" s="65"/>
      <c r="K91" s="21"/>
      <c r="L91" s="66"/>
    </row>
    <row r="92">
      <c r="A92" s="30" t="s">
        <v>111</v>
      </c>
      <c r="B92" s="31" t="s">
        <v>122</v>
      </c>
      <c r="C92" s="32"/>
      <c r="D92" s="33">
        <v>4.333333</v>
      </c>
      <c r="E92" s="34" t="str">
        <f t="shared" si="6"/>
        <v>right</v>
      </c>
      <c r="F92" s="34"/>
      <c r="G92" s="33">
        <v>1.904762</v>
      </c>
      <c r="H92" s="34" t="str">
        <f t="shared" si="8"/>
        <v>low</v>
      </c>
      <c r="I92" s="67"/>
      <c r="J92" s="67"/>
      <c r="K92" s="32"/>
      <c r="L92" s="68"/>
    </row>
    <row r="93">
      <c r="I93" s="62"/>
      <c r="J93" s="62"/>
    </row>
    <row r="94">
      <c r="I94" s="62"/>
      <c r="J94" s="62"/>
    </row>
    <row r="95">
      <c r="I95" s="62"/>
      <c r="J95" s="62"/>
    </row>
  </sheetData>
  <mergeCells count="1">
    <mergeCell ref="J1:K1"/>
  </mergeCells>
  <drawing r:id="rId1"/>
</worksheet>
</file>